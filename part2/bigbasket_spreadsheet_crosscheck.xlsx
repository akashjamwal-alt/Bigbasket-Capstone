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Data" sheetId="1" r:id="rId5"/>
    <sheet state="visible" name="Pivot Table 1" sheetId="2" r:id="rId6"/>
    <sheet state="visible" name="Category summary" sheetId="3" r:id="rId7"/>
    <sheet state="visible" name="category_targets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<sst xmlns="http://schemas.openxmlformats.org/spreadsheetml/2006/main" count="72" uniqueCount="19">
  <si>
    <t>Category</t>
  </si>
  <si>
    <t>Target_revenue_inr</t>
  </si>
  <si>
    <t>Month</t>
  </si>
  <si>
    <t>Order_count</t>
  </si>
  <si>
    <t>Total_revenue</t>
  </si>
  <si>
    <t>Avg_revenue</t>
  </si>
  <si>
    <t>Fruits &amp; Vegetables</t>
  </si>
  <si>
    <t>Dairy &amp; Eggs</t>
  </si>
  <si>
    <t>Bakery</t>
  </si>
  <si>
    <t>Snacks &amp; Beverages</t>
  </si>
  <si>
    <t>Personal Care</t>
  </si>
  <si>
    <t>Household Essentials</t>
  </si>
  <si>
    <t>Variance</t>
  </si>
  <si>
    <t>Percentage_variance</t>
  </si>
  <si>
    <t>Tag</t>
  </si>
  <si>
    <t>Matches Part 1 SQL total?</t>
  </si>
  <si>
    <t>SUM of Order_count</t>
  </si>
  <si>
    <t>SUM of Total_revenue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</si>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</sst>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Border="1" applyFont="1"/>
    <xf borderId="1" fillId="0" fontId="1" numFmtId="2" xfId="0" applyAlignment="1" applyBorder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1">
    <tableStyle count="4" pivot="0" name="Category summary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NonDate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  <fieldGroup par="5"/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1"/>
        <n v="239.62"/>
        <n v="246.33"/>
        <n v="166.79"/>
        <n v="226.11"/>
        <n v="241.88"/>
        <n v="210.87"/>
        <n v="183.33"/>
        <n v="248.5"/>
        <n v="166.18"/>
        <n v="107.5"/>
        <n v="160.77"/>
        <n v="160.0"/>
        <n v="100.0"/>
        <n v="155.83"/>
        <n v="117.78"/>
        <n v="209.9"/>
        <n v="319.56"/>
        <n v="235.63"/>
        <n v="323.0"/>
        <n v="217.31"/>
        <n v="304.17"/>
        <n v="300.67"/>
        <n v="272.13"/>
        <n v="255.18"/>
        <n v="218.89"/>
        <n v="234.23"/>
        <n v="213.46"/>
        <n v="129.0"/>
        <n v="120.91"/>
        <n v="111.33"/>
        <n v="156.84"/>
        <n v="128.08"/>
        <n v="130.67"/>
      </sharedItems>
    </cacheField>
    <cacheField name="month2" databaseField="0">
      <fieldGroup base="1">
        <rangePr autoStart="0" autoEnd="0" groupBy="months" startDate="2026-01-01T00:00:00Z" endDate="2026-06-02T00:00:00Z"/>
        <groupItems>
          <s v="&lt;01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2/26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37" sheet="Monthly Data"/>
  </cacheSource>
  <cacheFields>
    <cacheField name="Category" numFmtId="0">
      <sharedItems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NonDate="0" containsDate="1" containsString="0">
        <d v="2026-01-01T00:00:00Z"/>
        <d v="2026-02-01T00:00:00Z"/>
        <d v="2026-03-01T00:00:00Z"/>
        <d v="2026-04-01T00:00:00Z"/>
        <d v="2026-05-01T00:00:00Z"/>
        <d v="2026-06-01T00:00:00Z"/>
      </sharedItems>
      <fieldGroup par="5"/>
    </cacheField>
    <cacheField name="Order_count" numFmtId="0">
      <sharedItems containsSemiMixedTypes="0" containsString="0" containsNumber="1" containsInteger="1">
        <n v="6.0"/>
        <n v="8.0"/>
        <n v="11.0"/>
        <n v="13.0"/>
        <n v="15.0"/>
        <n v="14.0"/>
        <n v="9.0"/>
        <n v="12.0"/>
        <n v="10.0"/>
        <n v="16.0"/>
        <n v="17.0"/>
        <n v="19.0"/>
      </sharedItems>
    </cacheField>
    <cacheField name="Total_revenue" numFmtId="0">
      <sharedItems containsSemiMixedTypes="0" containsString="0" containsNumber="1" containsInteger="1">
        <n v="735.0"/>
        <n v="2440.0"/>
        <n v="3090.0"/>
        <n v="3115.0"/>
        <n v="3695.0"/>
        <n v="2335.0"/>
        <n v="2035.0"/>
        <n v="1935.0"/>
        <n v="3163.0"/>
        <n v="1650.0"/>
        <n v="3479.0"/>
        <n v="1828.0"/>
        <n v="1290.0"/>
        <n v="2090.0"/>
        <n v="2080.0"/>
        <n v="1400.0"/>
        <n v="1870.0"/>
        <n v="1060.0"/>
        <n v="2099.0"/>
        <n v="5113.0"/>
        <n v="1885.0"/>
        <n v="5491.0"/>
        <n v="3477.0"/>
        <n v="3650.0"/>
        <n v="3608.0"/>
        <n v="2177.0"/>
        <n v="2807.0"/>
        <n v="1970.0"/>
        <n v="3045.0"/>
        <n v="2775.0"/>
        <n v="1330.0"/>
        <n v="1670.0"/>
        <n v="2980.0"/>
        <n v="1665.0"/>
        <n v="1960.0"/>
      </sharedItems>
    </cacheField>
    <cacheField name="Avg_revenue" numFmtId="0">
      <sharedItems containsSemiMixedTypes="0" containsString="0" containsNumber="1">
        <n v="122.5"/>
        <n v="305.0"/>
        <n v="280.91"/>
        <n v="239.62"/>
        <n v="246.33"/>
        <n v="166.79"/>
        <n v="226.11"/>
        <n v="241.88"/>
        <n v="210.87"/>
        <n v="183.33"/>
        <n v="248.5"/>
        <n v="166.18"/>
        <n v="107.5"/>
        <n v="160.77"/>
        <n v="160.0"/>
        <n v="100.0"/>
        <n v="155.83"/>
        <n v="117.78"/>
        <n v="209.9"/>
        <n v="319.56"/>
        <n v="235.63"/>
        <n v="323.0"/>
        <n v="217.31"/>
        <n v="304.17"/>
        <n v="300.67"/>
        <n v="272.13"/>
        <n v="255.18"/>
        <n v="218.89"/>
        <n v="234.23"/>
        <n v="213.46"/>
        <n v="129.0"/>
        <n v="120.91"/>
        <n v="111.33"/>
        <n v="156.84"/>
        <n v="128.08"/>
        <n v="130.67"/>
      </sharedItems>
    </cacheField>
    <cacheField name="month2" databaseField="0">
      <fieldGroup base="1">
        <rangePr autoStart="0" autoEnd="0" groupBy="months" startDate="2026-01-01T00:00:00Z" endDate="2026-06-02T00:00:00Z"/>
        <groupItems>
          <s v="&lt;01/01/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/02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1" cacheId="1" dataCaption="" compact="0" compactData="0">
  <location ref="A1:C8" firstHeaderRow="0" firstDataRow="2" firstDataCol="0"/>
  <pivotFields>
    <pivotField name="Category" axis="axisRow" compact="0" outline="0" multipleItemSelectionAllowed="1" showAll="0" sortType="ascending">
      <items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_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Avg_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month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0"/>
  </rowFields>
  <colFields>
    <field x="-2"/>
  </colFields>
  <dataFields>
    <dataField name="SUM of Order_count" fld="2" baseField="0"/>
    <dataField name="SUM of Total_revenue" fld="3" baseField="0"/>
  </dataFields>
</pivotTableDefinition>
</file>

<file path=xl/tables/table1.xml><?xml version="1.0" encoding="utf-8"?>
<table xmlns="http://schemas.openxmlformats.org/spreadsheetml/2006/main" ref="A1:G7" displayName="Category_summary" name="Category_summary" id="1">
  <tableColumns count="7">
    <tableColumn name="Category" id="1"/>
    <tableColumn name="Total_revenue" id="2"/>
    <tableColumn name="Target_revenue_inr" id="3"/>
    <tableColumn name="Variance" id="4"/>
    <tableColumn name="Percentage_variance" id="5"/>
    <tableColumn name="Tag" id="6"/>
    <tableColumn name="Matches Part 1 SQL total?" id="7"/>
  </tableColumns>
  <tableStyleInfo name="Category summa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72C2C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8</v>
      </c>
      <c r="B2" s="4">
        <v>46023.0</v>
      </c>
      <c r="C2" s="3">
        <v>6.0</v>
      </c>
      <c r="D2" s="3">
        <v>735.0</v>
      </c>
      <c r="E2" s="3">
        <v>122.5</v>
      </c>
    </row>
    <row r="3">
      <c r="A3" s="3" t="s">
        <v>8</v>
      </c>
      <c r="B3" s="4">
        <v>46054.0</v>
      </c>
      <c r="C3" s="3">
        <v>8.0</v>
      </c>
      <c r="D3" s="3">
        <v>2440.0</v>
      </c>
      <c r="E3" s="3">
        <v>305.0</v>
      </c>
    </row>
    <row r="4">
      <c r="A4" s="3" t="s">
        <v>8</v>
      </c>
      <c r="B4" s="4">
        <v>46082.0</v>
      </c>
      <c r="C4" s="3">
        <v>11.0</v>
      </c>
      <c r="D4" s="3">
        <v>3090.0</v>
      </c>
      <c r="E4" s="3">
        <v>280.91</v>
      </c>
    </row>
    <row r="5">
      <c r="A5" s="3" t="s">
        <v>8</v>
      </c>
      <c r="B5" s="4">
        <v>46113.0</v>
      </c>
      <c r="C5" s="3">
        <v>13.0</v>
      </c>
      <c r="D5" s="3">
        <v>3115.0</v>
      </c>
      <c r="E5" s="3">
        <v>239.62</v>
      </c>
    </row>
    <row r="6">
      <c r="A6" s="3" t="s">
        <v>8</v>
      </c>
      <c r="B6" s="4">
        <v>46143.0</v>
      </c>
      <c r="C6" s="3">
        <v>15.0</v>
      </c>
      <c r="D6" s="3">
        <v>3695.0</v>
      </c>
      <c r="E6" s="3">
        <v>246.33</v>
      </c>
    </row>
    <row r="7">
      <c r="A7" s="3" t="s">
        <v>8</v>
      </c>
      <c r="B7" s="4">
        <v>46174.0</v>
      </c>
      <c r="C7" s="3">
        <v>14.0</v>
      </c>
      <c r="D7" s="3">
        <v>2335.0</v>
      </c>
      <c r="E7" s="3">
        <v>166.79</v>
      </c>
    </row>
    <row r="8">
      <c r="A8" s="3" t="s">
        <v>7</v>
      </c>
      <c r="B8" s="4">
        <v>46023.0</v>
      </c>
      <c r="C8" s="3">
        <v>9.0</v>
      </c>
      <c r="D8" s="3">
        <v>2035.0</v>
      </c>
      <c r="E8" s="3">
        <v>226.11</v>
      </c>
    </row>
    <row r="9">
      <c r="A9" s="3" t="s">
        <v>7</v>
      </c>
      <c r="B9" s="4">
        <v>46054.0</v>
      </c>
      <c r="C9" s="3">
        <v>8.0</v>
      </c>
      <c r="D9" s="3">
        <v>1935.0</v>
      </c>
      <c r="E9" s="3">
        <v>241.88</v>
      </c>
    </row>
    <row r="10">
      <c r="A10" s="3" t="s">
        <v>7</v>
      </c>
      <c r="B10" s="4">
        <v>46082.0</v>
      </c>
      <c r="C10" s="3">
        <v>15.0</v>
      </c>
      <c r="D10" s="3">
        <v>3163.0</v>
      </c>
      <c r="E10" s="3">
        <v>210.87</v>
      </c>
    </row>
    <row r="11">
      <c r="A11" s="3" t="s">
        <v>7</v>
      </c>
      <c r="B11" s="4">
        <v>46113.0</v>
      </c>
      <c r="C11" s="3">
        <v>9.0</v>
      </c>
      <c r="D11" s="3">
        <v>1650.0</v>
      </c>
      <c r="E11" s="3">
        <v>183.33</v>
      </c>
    </row>
    <row r="12">
      <c r="A12" s="3" t="s">
        <v>7</v>
      </c>
      <c r="B12" s="4">
        <v>46143.0</v>
      </c>
      <c r="C12" s="3">
        <v>14.0</v>
      </c>
      <c r="D12" s="3">
        <v>3479.0</v>
      </c>
      <c r="E12" s="3">
        <v>248.5</v>
      </c>
    </row>
    <row r="13">
      <c r="A13" s="3" t="s">
        <v>7</v>
      </c>
      <c r="B13" s="4">
        <v>46174.0</v>
      </c>
      <c r="C13" s="3">
        <v>11.0</v>
      </c>
      <c r="D13" s="3">
        <v>1828.0</v>
      </c>
      <c r="E13" s="3">
        <v>166.18</v>
      </c>
    </row>
    <row r="14">
      <c r="A14" s="3" t="s">
        <v>6</v>
      </c>
      <c r="B14" s="4">
        <v>46023.0</v>
      </c>
      <c r="C14" s="3">
        <v>12.0</v>
      </c>
      <c r="D14" s="3">
        <v>1290.0</v>
      </c>
      <c r="E14" s="3">
        <v>107.5</v>
      </c>
    </row>
    <row r="15">
      <c r="A15" s="3" t="s">
        <v>6</v>
      </c>
      <c r="B15" s="4">
        <v>46054.0</v>
      </c>
      <c r="C15" s="3">
        <v>13.0</v>
      </c>
      <c r="D15" s="3">
        <v>2090.0</v>
      </c>
      <c r="E15" s="3">
        <v>160.77</v>
      </c>
    </row>
    <row r="16">
      <c r="A16" s="3" t="s">
        <v>6</v>
      </c>
      <c r="B16" s="4">
        <v>46082.0</v>
      </c>
      <c r="C16" s="3">
        <v>13.0</v>
      </c>
      <c r="D16" s="3">
        <v>2080.0</v>
      </c>
      <c r="E16" s="3">
        <v>160.0</v>
      </c>
    </row>
    <row r="17">
      <c r="A17" s="3" t="s">
        <v>6</v>
      </c>
      <c r="B17" s="4">
        <v>46113.0</v>
      </c>
      <c r="C17" s="3">
        <v>14.0</v>
      </c>
      <c r="D17" s="3">
        <v>1400.0</v>
      </c>
      <c r="E17" s="3">
        <v>100.0</v>
      </c>
    </row>
    <row r="18">
      <c r="A18" s="3" t="s">
        <v>6</v>
      </c>
      <c r="B18" s="4">
        <v>46143.0</v>
      </c>
      <c r="C18" s="3">
        <v>12.0</v>
      </c>
      <c r="D18" s="3">
        <v>1870.0</v>
      </c>
      <c r="E18" s="3">
        <v>155.83</v>
      </c>
    </row>
    <row r="19">
      <c r="A19" s="3" t="s">
        <v>6</v>
      </c>
      <c r="B19" s="4">
        <v>46174.0</v>
      </c>
      <c r="C19" s="3">
        <v>9.0</v>
      </c>
      <c r="D19" s="3">
        <v>1060.0</v>
      </c>
      <c r="E19" s="3">
        <v>117.78</v>
      </c>
    </row>
    <row r="20">
      <c r="A20" s="3" t="s">
        <v>11</v>
      </c>
      <c r="B20" s="4">
        <v>46023.0</v>
      </c>
      <c r="C20" s="3">
        <v>10.0</v>
      </c>
      <c r="D20" s="3">
        <v>2099.0</v>
      </c>
      <c r="E20" s="3">
        <v>209.9</v>
      </c>
    </row>
    <row r="21">
      <c r="A21" s="3" t="s">
        <v>11</v>
      </c>
      <c r="B21" s="4">
        <v>46054.0</v>
      </c>
      <c r="C21" s="3">
        <v>16.0</v>
      </c>
      <c r="D21" s="3">
        <v>5113.0</v>
      </c>
      <c r="E21" s="3">
        <v>319.56</v>
      </c>
    </row>
    <row r="22">
      <c r="A22" s="3" t="s">
        <v>11</v>
      </c>
      <c r="B22" s="4">
        <v>46082.0</v>
      </c>
      <c r="C22" s="3">
        <v>8.0</v>
      </c>
      <c r="D22" s="3">
        <v>1885.0</v>
      </c>
      <c r="E22" s="3">
        <v>235.63</v>
      </c>
    </row>
    <row r="23">
      <c r="A23" s="3" t="s">
        <v>11</v>
      </c>
      <c r="B23" s="4">
        <v>46113.0</v>
      </c>
      <c r="C23" s="3">
        <v>17.0</v>
      </c>
      <c r="D23" s="3">
        <v>5491.0</v>
      </c>
      <c r="E23" s="3">
        <v>323.0</v>
      </c>
    </row>
    <row r="24">
      <c r="A24" s="3" t="s">
        <v>11</v>
      </c>
      <c r="B24" s="4">
        <v>46143.0</v>
      </c>
      <c r="C24" s="3">
        <v>16.0</v>
      </c>
      <c r="D24" s="3">
        <v>3477.0</v>
      </c>
      <c r="E24" s="3">
        <v>217.31</v>
      </c>
    </row>
    <row r="25">
      <c r="A25" s="3" t="s">
        <v>11</v>
      </c>
      <c r="B25" s="4">
        <v>46174.0</v>
      </c>
      <c r="C25" s="3">
        <v>12.0</v>
      </c>
      <c r="D25" s="3">
        <v>3650.0</v>
      </c>
      <c r="E25" s="3">
        <v>304.17</v>
      </c>
    </row>
    <row r="26">
      <c r="A26" s="3" t="s">
        <v>10</v>
      </c>
      <c r="B26" s="4">
        <v>46023.0</v>
      </c>
      <c r="C26" s="3">
        <v>12.0</v>
      </c>
      <c r="D26" s="3">
        <v>3608.0</v>
      </c>
      <c r="E26" s="3">
        <v>300.67</v>
      </c>
    </row>
    <row r="27">
      <c r="A27" s="3" t="s">
        <v>10</v>
      </c>
      <c r="B27" s="4">
        <v>46054.0</v>
      </c>
      <c r="C27" s="3">
        <v>8.0</v>
      </c>
      <c r="D27" s="3">
        <v>2177.0</v>
      </c>
      <c r="E27" s="3">
        <v>272.13</v>
      </c>
    </row>
    <row r="28">
      <c r="A28" s="3" t="s">
        <v>10</v>
      </c>
      <c r="B28" s="4">
        <v>46082.0</v>
      </c>
      <c r="C28" s="3">
        <v>11.0</v>
      </c>
      <c r="D28" s="3">
        <v>2807.0</v>
      </c>
      <c r="E28" s="3">
        <v>255.18</v>
      </c>
    </row>
    <row r="29">
      <c r="A29" s="3" t="s">
        <v>10</v>
      </c>
      <c r="B29" s="4">
        <v>46113.0</v>
      </c>
      <c r="C29" s="3">
        <v>9.0</v>
      </c>
      <c r="D29" s="3">
        <v>1970.0</v>
      </c>
      <c r="E29" s="3">
        <v>218.89</v>
      </c>
    </row>
    <row r="30">
      <c r="A30" s="3" t="s">
        <v>10</v>
      </c>
      <c r="B30" s="4">
        <v>46143.0</v>
      </c>
      <c r="C30" s="3">
        <v>13.0</v>
      </c>
      <c r="D30" s="3">
        <v>3045.0</v>
      </c>
      <c r="E30" s="3">
        <v>234.23</v>
      </c>
    </row>
    <row r="31">
      <c r="A31" s="3" t="s">
        <v>10</v>
      </c>
      <c r="B31" s="4">
        <v>46174.0</v>
      </c>
      <c r="C31" s="3">
        <v>13.0</v>
      </c>
      <c r="D31" s="3">
        <v>2775.0</v>
      </c>
      <c r="E31" s="3">
        <v>213.46</v>
      </c>
    </row>
    <row r="32">
      <c r="A32" s="3" t="s">
        <v>9</v>
      </c>
      <c r="B32" s="4">
        <v>46023.0</v>
      </c>
      <c r="C32" s="3">
        <v>10.0</v>
      </c>
      <c r="D32" s="3">
        <v>1290.0</v>
      </c>
      <c r="E32" s="3">
        <v>129.0</v>
      </c>
    </row>
    <row r="33">
      <c r="A33" s="3" t="s">
        <v>9</v>
      </c>
      <c r="B33" s="4">
        <v>46054.0</v>
      </c>
      <c r="C33" s="3">
        <v>11.0</v>
      </c>
      <c r="D33" s="3">
        <v>1330.0</v>
      </c>
      <c r="E33" s="3">
        <v>120.91</v>
      </c>
    </row>
    <row r="34">
      <c r="A34" s="3" t="s">
        <v>9</v>
      </c>
      <c r="B34" s="4">
        <v>46082.0</v>
      </c>
      <c r="C34" s="3">
        <v>15.0</v>
      </c>
      <c r="D34" s="3">
        <v>1670.0</v>
      </c>
      <c r="E34" s="3">
        <v>111.33</v>
      </c>
    </row>
    <row r="35">
      <c r="A35" s="3" t="s">
        <v>9</v>
      </c>
      <c r="B35" s="4">
        <v>46113.0</v>
      </c>
      <c r="C35" s="3">
        <v>19.0</v>
      </c>
      <c r="D35" s="3">
        <v>2980.0</v>
      </c>
      <c r="E35" s="3">
        <v>156.84</v>
      </c>
    </row>
    <row r="36">
      <c r="A36" s="3" t="s">
        <v>9</v>
      </c>
      <c r="B36" s="4">
        <v>46143.0</v>
      </c>
      <c r="C36" s="3">
        <v>13.0</v>
      </c>
      <c r="D36" s="3">
        <v>1665.0</v>
      </c>
      <c r="E36" s="3">
        <v>128.08</v>
      </c>
    </row>
    <row r="37">
      <c r="A37" s="3" t="s">
        <v>9</v>
      </c>
      <c r="B37" s="4">
        <v>46174.0</v>
      </c>
      <c r="C37" s="3">
        <v>15.0</v>
      </c>
      <c r="D37" s="3">
        <v>1960.0</v>
      </c>
      <c r="E37" s="3">
        <v>130.67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7.0"/>
    <col customWidth="1" min="2" max="3" width="17.5"/>
  </cols>
  <sheetData>
    <row r="1"/>
    <row r="2"/>
    <row r="3"/>
    <row r="4"/>
    <row r="5"/>
    <row r="6"/>
    <row r="7"/>
    <row r="8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8.0"/>
    <col customWidth="1" min="3" max="3" width="22.63"/>
    <col customWidth="1" min="4" max="4" width="13.38"/>
    <col customWidth="1" min="5" max="5" width="27.63"/>
    <col customWidth="1" min="6" max="6" width="23.5"/>
    <col customWidth="1" min="7" max="7" width="29.0"/>
  </cols>
  <sheetData>
    <row r="1" ht="22.5" customHeight="1">
      <c r="A1" s="5" t="s">
        <v>0</v>
      </c>
      <c r="B1" s="5" t="s">
        <v>4</v>
      </c>
      <c r="C1" s="5" t="s">
        <v>1</v>
      </c>
      <c r="D1" s="5" t="s">
        <v>12</v>
      </c>
      <c r="E1" s="5" t="s">
        <v>13</v>
      </c>
      <c r="F1" s="5" t="s">
        <v>14</v>
      </c>
      <c r="G1" s="5" t="s">
        <v>15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7" t="s">
        <v>8</v>
      </c>
      <c r="B2" s="7">
        <f t="array" ref="B2">_xlfn.XLOOKUP(A2,'Pivot Table 1'!A:A,'Pivot Table 1'!C:C,"Not Found")</f>
        <v>15410</v>
      </c>
      <c r="C2" s="7">
        <f t="array" ref="C2">_xlfn.XLOOKUP(A2,category_targets!A:A,category_targets!B:B,"NULL")</f>
        <v>12000</v>
      </c>
      <c r="D2" s="7">
        <f t="shared" ref="D2:D7" si="1">C2-B2</f>
        <v>-3410</v>
      </c>
      <c r="E2" s="9">
        <f t="shared" ref="E2:E7" si="2">((B2-C2)/C2)*100</f>
        <v>28.41666667</v>
      </c>
      <c r="F2" s="7" t="str">
        <f t="shared" ref="F2:F7" si="3">IF(B2&gt;C2, "ABOVE TARGET", IF(E2&gt;=-15,"BELOW TARGET-WATCH", "BELOW TARGET- CRITICALL"))</f>
        <v>ABOVE TARGET</v>
      </c>
      <c r="G2" s="7" t="str">
        <f>IF(B2=15410, "YES", "NO")</f>
        <v>YES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2.5" customHeight="1">
      <c r="A3" s="7" t="s">
        <v>7</v>
      </c>
      <c r="B3" s="7">
        <f t="array" ref="B3">_xlfn.XLOOKUP(A3,'Pivot Table 1'!A:A,'Pivot Table 1'!C:C,"Not Found")</f>
        <v>14090</v>
      </c>
      <c r="C3" s="7">
        <f t="array" ref="C3">_xlfn.XLOOKUP(A3,category_targets!A:A,category_targets!B:B,"NULL")</f>
        <v>16500</v>
      </c>
      <c r="D3" s="7">
        <f t="shared" si="1"/>
        <v>2410</v>
      </c>
      <c r="E3" s="9">
        <f t="shared" si="2"/>
        <v>-14.60606061</v>
      </c>
      <c r="F3" s="7" t="str">
        <f t="shared" si="3"/>
        <v>BELOW TARGET-WATCH</v>
      </c>
      <c r="G3" s="7" t="str">
        <f>IF(B3=14090, "YES", "NO")</f>
        <v>YES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2.5" customHeight="1">
      <c r="A4" s="7" t="s">
        <v>6</v>
      </c>
      <c r="B4" s="7">
        <f t="array" ref="B4">_xlfn.XLOOKUP(A4,'Pivot Table 1'!A:A,'Pivot Table 1'!C:C,"Not Found")</f>
        <v>9790</v>
      </c>
      <c r="C4" s="7">
        <f t="array" ref="C4">_xlfn.XLOOKUP(A4,category_targets!A:A,category_targets!B:B,"NULL")</f>
        <v>12000</v>
      </c>
      <c r="D4" s="7">
        <f t="shared" si="1"/>
        <v>2210</v>
      </c>
      <c r="E4" s="9">
        <f t="shared" si="2"/>
        <v>-18.41666667</v>
      </c>
      <c r="F4" s="7" t="str">
        <f t="shared" si="3"/>
        <v>BELOW TARGET- CRITICALL</v>
      </c>
      <c r="G4" s="7" t="str">
        <f>IF(B4=9790,"YES","NO")</f>
        <v>YES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2.5" customHeight="1">
      <c r="A5" s="7" t="s">
        <v>11</v>
      </c>
      <c r="B5" s="7">
        <f t="array" ref="B5">_xlfn.XLOOKUP(A5,'Pivot Table 1'!A:A,'Pivot Table 1'!C:C,"Not Found")</f>
        <v>21715</v>
      </c>
      <c r="C5" s="7">
        <f t="array" ref="C5">_xlfn.XLOOKUP(A5,category_targets!A:A,category_targets!B:B,"NULL")</f>
        <v>17000</v>
      </c>
      <c r="D5" s="7">
        <f t="shared" si="1"/>
        <v>-4715</v>
      </c>
      <c r="E5" s="9">
        <f t="shared" si="2"/>
        <v>27.73529412</v>
      </c>
      <c r="F5" s="7" t="str">
        <f t="shared" si="3"/>
        <v>ABOVE TARGET</v>
      </c>
      <c r="G5" s="7" t="str">
        <f>IF(B5=21715,"YES", "NO")</f>
        <v>YES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2.5" customHeight="1">
      <c r="A6" s="7" t="s">
        <v>10</v>
      </c>
      <c r="B6" s="7">
        <f t="array" ref="B6">_xlfn.XLOOKUP(A6,'Pivot Table 1'!A:A,'Pivot Table 1'!C:C,"Not Found")</f>
        <v>16382</v>
      </c>
      <c r="C6" s="7">
        <f t="array" ref="C6">_xlfn.XLOOKUP(A6,category_targets!A:A,category_targets!B:B,"NULL")</f>
        <v>15500</v>
      </c>
      <c r="D6" s="7">
        <f t="shared" si="1"/>
        <v>-882</v>
      </c>
      <c r="E6" s="9">
        <f t="shared" si="2"/>
        <v>5.690322581</v>
      </c>
      <c r="F6" s="7" t="str">
        <f t="shared" si="3"/>
        <v>ABOVE TARGET</v>
      </c>
      <c r="G6" s="7" t="str">
        <f>IF(B6=16382,"YES","NO")</f>
        <v>YES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2.5" customHeight="1">
      <c r="A7" s="7" t="s">
        <v>9</v>
      </c>
      <c r="B7" s="7">
        <f t="array" ref="B7">_xlfn.XLOOKUP(A7,'Pivot Table 1'!A:A,'Pivot Table 1'!C:C,"Not Found")</f>
        <v>10895</v>
      </c>
      <c r="C7" s="7">
        <f t="array" ref="C7">_xlfn.XLOOKUP(A7,category_targets!A:A,category_targets!B:B,"NULL")</f>
        <v>13000</v>
      </c>
      <c r="D7" s="7">
        <f t="shared" si="1"/>
        <v>2105</v>
      </c>
      <c r="E7" s="9">
        <f t="shared" si="2"/>
        <v>-16.19230769</v>
      </c>
      <c r="F7" s="7" t="str">
        <f t="shared" si="3"/>
        <v>BELOW TARGET- CRITICALL</v>
      </c>
      <c r="G7" s="7" t="str">
        <f>IF(B7=10895,"YES","NO")</f>
        <v>YES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19">
      <c r="D19" s="11"/>
      <c r="E19" s="11"/>
      <c r="F19" s="11"/>
      <c r="G19" s="11"/>
      <c r="H19" s="11"/>
    </row>
    <row r="20">
      <c r="H20" s="12"/>
    </row>
    <row r="21">
      <c r="H21" s="12"/>
    </row>
    <row r="22">
      <c r="G22" s="11"/>
      <c r="H22" s="11"/>
      <c r="I22" s="11"/>
      <c r="J22" s="11"/>
      <c r="K22" s="11"/>
    </row>
    <row r="24">
      <c r="K24" s="12"/>
    </row>
    <row r="25">
      <c r="K25" s="12"/>
    </row>
    <row r="28">
      <c r="K28" s="12"/>
    </row>
  </sheetData>
  <conditionalFormatting sqref="F2:F7">
    <cfRule type="cellIs" dxfId="5" priority="1" operator="equal">
      <formula>"ABOVE TARGET"</formula>
    </cfRule>
  </conditionalFormatting>
  <conditionalFormatting sqref="F2:F7">
    <cfRule type="cellIs" dxfId="6" priority="2" operator="equal">
      <formula>"BELOW TARGET-WATCH"</formula>
    </cfRule>
  </conditionalFormatting>
  <conditionalFormatting sqref="F2:F7">
    <cfRule type="cellIs" dxfId="7" priority="3" operator="equal">
      <formula>"BELOW TARGET- CRITICALL"</formula>
    </cfRule>
  </conditionalFormatting>
  <dataValidations>
    <dataValidation type="custom" allowBlank="1" showDropDown="1" sqref="E2:E7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6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>
        <v>12000.0</v>
      </c>
    </row>
    <row r="3">
      <c r="A3" s="3" t="s">
        <v>7</v>
      </c>
      <c r="B3" s="3">
        <v>16500.0</v>
      </c>
    </row>
    <row r="4">
      <c r="A4" s="3" t="s">
        <v>9</v>
      </c>
      <c r="B4" s="3">
        <v>13000.0</v>
      </c>
    </row>
    <row r="5">
      <c r="A5" s="3" t="s">
        <v>10</v>
      </c>
      <c r="B5" s="3">
        <v>15500.0</v>
      </c>
    </row>
    <row r="6">
      <c r="A6" s="3" t="s">
        <v>11</v>
      </c>
      <c r="B6" s="3">
        <v>17000.0</v>
      </c>
    </row>
    <row r="7">
      <c r="A7" s="3" t="s">
        <v>8</v>
      </c>
      <c r="B7" s="3">
        <v>12000.0</v>
      </c>
    </row>
  </sheetData>
  <drawing r:id="rId1"/>
</worksheet>
</file>